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d1a8574e231c1a0/Desktop/"/>
    </mc:Choice>
  </mc:AlternateContent>
  <xr:revisionPtr revIDLastSave="25" documentId="13_ncr:1_{10947EC0-EE86-4B1F-8C30-E0F444B87C5C}" xr6:coauthVersionLast="47" xr6:coauthVersionMax="47" xr10:uidLastSave="{1FB3004A-7752-4777-983D-50EC757D7ACE}"/>
  <bookViews>
    <workbookView minimized="1" xWindow="7680" yWindow="-10950" windowWidth="14400" windowHeight="7275" activeTab="1" xr2:uid="{9514EFC6-D74A-4D3C-A92E-6FF6EDCB3035}"/>
  </bookViews>
  <sheets>
    <sheet name="見積書" sheetId="5" r:id="rId1"/>
    <sheet name="明細書" sheetId="15" r:id="rId2"/>
  </sheets>
  <definedNames>
    <definedName name="_xlnm._FilterDatabase" localSheetId="0" hidden="1">見積書!$A$8:$F$28</definedName>
    <definedName name="_xlnm._FilterDatabase" localSheetId="1" hidden="1">明細書!$A$8:$F$28</definedName>
    <definedName name="_xlnm.Print_Area" localSheetId="0">見積書!$A$1:$F$36</definedName>
    <definedName name="_xlnm.Print_Area" localSheetId="1">明細書!$A$1:$F$38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5" l="1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6" i="15"/>
  <c r="D38" i="15"/>
  <c r="E1" i="15"/>
  <c r="E1" i="5"/>
  <c r="D33" i="15" l="1"/>
  <c r="D32" i="15"/>
  <c r="D31" i="15"/>
  <c r="D30" i="15"/>
  <c r="D29" i="15"/>
  <c r="D28" i="15"/>
  <c r="D27" i="15"/>
  <c r="D26" i="15"/>
  <c r="D25" i="15"/>
  <c r="D24" i="15"/>
  <c r="D23" i="15"/>
  <c r="D22" i="15"/>
  <c r="D21" i="15"/>
  <c r="D20" i="15"/>
  <c r="D37" i="15" s="1"/>
  <c r="D19" i="15"/>
  <c r="D18" i="15"/>
  <c r="D17" i="15"/>
  <c r="D16" i="15"/>
  <c r="D15" i="15"/>
  <c r="D14" i="15"/>
  <c r="D13" i="15"/>
  <c r="D12" i="15"/>
  <c r="D11" i="15"/>
  <c r="D10" i="15"/>
  <c r="D9" i="15"/>
  <c r="D35" i="15" l="1"/>
  <c r="D34" i="15" l="1"/>
  <c r="D33" i="5" l="1"/>
  <c r="D34" i="5" l="1"/>
  <c r="D35" i="5" s="1"/>
</calcChain>
</file>

<file path=xl/sharedStrings.xml><?xml version="1.0" encoding="utf-8"?>
<sst xmlns="http://schemas.openxmlformats.org/spreadsheetml/2006/main" count="71" uniqueCount="39">
  <si>
    <t>備考</t>
    <rPh sb="0" eb="2">
      <t>ビコウ</t>
    </rPh>
    <phoneticPr fontId="2"/>
  </si>
  <si>
    <t>合計</t>
    <rPh sb="0" eb="2">
      <t>ゴウケイ</t>
    </rPh>
    <phoneticPr fontId="2"/>
  </si>
  <si>
    <t>単価</t>
    <rPh sb="0" eb="2">
      <t>タンカ</t>
    </rPh>
    <phoneticPr fontId="2"/>
  </si>
  <si>
    <t>項目</t>
    <rPh sb="0" eb="2">
      <t>コウモク</t>
    </rPh>
    <phoneticPr fontId="2"/>
  </si>
  <si>
    <t>数量</t>
    <rPh sb="0" eb="2">
      <t>スウリョウ</t>
    </rPh>
    <phoneticPr fontId="2"/>
  </si>
  <si>
    <t>担当：畑原雅史</t>
    <rPh sb="0" eb="2">
      <t>タントウ</t>
    </rPh>
    <rPh sb="3" eb="5">
      <t>ハタハラ</t>
    </rPh>
    <rPh sb="5" eb="7">
      <t>マサシ</t>
    </rPh>
    <phoneticPr fontId="2"/>
  </si>
  <si>
    <t>株式会社農協観光　北海道支店</t>
    <rPh sb="0" eb="2">
      <t>カブシキ</t>
    </rPh>
    <rPh sb="2" eb="4">
      <t>カイシャ</t>
    </rPh>
    <rPh sb="4" eb="8">
      <t>ノウキョウカンコウ</t>
    </rPh>
    <rPh sb="9" eb="12">
      <t>ホッカイドウ</t>
    </rPh>
    <rPh sb="12" eb="14">
      <t>シテン</t>
    </rPh>
    <phoneticPr fontId="2"/>
  </si>
  <si>
    <t>備考</t>
    <rPh sb="0" eb="2">
      <t>ビコウ</t>
    </rPh>
    <phoneticPr fontId="2"/>
  </si>
  <si>
    <t>Tel:011-222-1151/Fax:011-222-0765</t>
    <phoneticPr fontId="2"/>
  </si>
  <si>
    <t>mail:ntour.sapporo@ntour.co.jp</t>
    <phoneticPr fontId="2"/>
  </si>
  <si>
    <t>見積書</t>
    <rPh sb="0" eb="3">
      <t>ミツモリショ</t>
    </rPh>
    <phoneticPr fontId="2"/>
  </si>
  <si>
    <t>状況</t>
    <rPh sb="0" eb="2">
      <t>ジョウキョウ</t>
    </rPh>
    <phoneticPr fontId="2"/>
  </si>
  <si>
    <t>合計（税込）</t>
    <rPh sb="0" eb="2">
      <t>ゴウケイ</t>
    </rPh>
    <rPh sb="3" eb="5">
      <t>ゼイコ</t>
    </rPh>
    <phoneticPr fontId="2"/>
  </si>
  <si>
    <t>連絡先：</t>
    <rPh sb="0" eb="3">
      <t>レンラクサキ</t>
    </rPh>
    <phoneticPr fontId="2"/>
  </si>
  <si>
    <t>予約名：</t>
    <rPh sb="0" eb="3">
      <t>ヨヤクメイ</t>
    </rPh>
    <phoneticPr fontId="2"/>
  </si>
  <si>
    <t>～</t>
    <phoneticPr fontId="2"/>
  </si>
  <si>
    <t>日程：</t>
    <rPh sb="0" eb="2">
      <t>ニッテイ</t>
    </rPh>
    <phoneticPr fontId="2"/>
  </si>
  <si>
    <t>カルテ：</t>
    <phoneticPr fontId="2"/>
  </si>
  <si>
    <t>人数：</t>
    <rPh sb="0" eb="2">
      <t>ニンズウ</t>
    </rPh>
    <phoneticPr fontId="2"/>
  </si>
  <si>
    <t>明細書</t>
    <phoneticPr fontId="2"/>
  </si>
  <si>
    <t>税率</t>
    <phoneticPr fontId="2"/>
  </si>
  <si>
    <t>非課税</t>
    <rPh sb="0" eb="3">
      <t>ヒカゼイ</t>
    </rPh>
    <phoneticPr fontId="2"/>
  </si>
  <si>
    <t>不課税</t>
    <rPh sb="0" eb="3">
      <t>フカゼイ</t>
    </rPh>
    <phoneticPr fontId="2"/>
  </si>
  <si>
    <t>お一人様当たり</t>
    <rPh sb="1" eb="4">
      <t>ヒトリサマ</t>
    </rPh>
    <rPh sb="4" eb="5">
      <t>ア</t>
    </rPh>
    <phoneticPr fontId="2"/>
  </si>
  <si>
    <t>出発日：</t>
    <rPh sb="0" eb="3">
      <t>シュッパツビ</t>
    </rPh>
    <phoneticPr fontId="2"/>
  </si>
  <si>
    <t>航空券</t>
  </si>
  <si>
    <t>7/8（火）JAL504 札幌(新千歳)（09:55）-東京(羽田)（11:30）セイバー</t>
  </si>
  <si>
    <t>宿泊</t>
  </si>
  <si>
    <t>7/8（火）品川プリンスホテル（禁煙 イーストタワー スタンダードシングル 朝食のみ）</t>
  </si>
  <si>
    <t>交通</t>
  </si>
  <si>
    <t>7/9（水）運賃 品川-新大阪</t>
  </si>
  <si>
    <t>7/9（水）指定席 のぞみ71号 品川（12:55）-新大阪（15:15）</t>
  </si>
  <si>
    <t>7/9（水）アパホテル＆リゾート＜大阪梅田駅タワー＞（禁煙 スタンダードルーム 朝食のみ）</t>
  </si>
  <si>
    <t>7/10（木）JAL2009 大阪(伊丹)（15:10）-札幌(新千歳)（17:00）セイバー</t>
  </si>
  <si>
    <t>ＪＡさっぽろ　山田</t>
  </si>
  <si>
    <t>ＪＡさっぽろ　山田</t>
    <rPh sb="7" eb="9">
      <t>ヤマダ</t>
    </rPh>
    <phoneticPr fontId="2"/>
  </si>
  <si>
    <t>250616-0002</t>
  </si>
  <si>
    <t>250616-0002</t>
    <phoneticPr fontId="2"/>
  </si>
  <si>
    <t>未手配</t>
    <rPh sb="0" eb="3">
      <t>ミテハイ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</si>
</sst>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&quot;¥&quot;#,##0_);\(&quot;¥&quot;#,##0\)"/>
    <numFmt numFmtId="177" formatCode="m/d;@"/>
    <numFmt numFmtId="178" formatCode="#,##0_ "/>
    <numFmt numFmtId="179" formatCode="#,###&quot;名&quot;&quot;様&quot;"/>
    <numFmt numFmtId="180" formatCode="@\ &quot;様&quot;"/>
    <numFmt numFmtId="181" formatCode="#,###"/>
    <numFmt numFmtId="182" formatCode="yyyy/m/d\(aaa\)"/>
    <numFmt numFmtId="183" formatCode="yyyy/mm/dd\(aaa\)"/>
    <numFmt numFmtId="184" formatCode="m/d\(aaa\)"/>
    <numFmt numFmtId="185" formatCode="yyyy/mm/dd"/>
  </numFmts>
  <fonts count="1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0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2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 shrinkToFit="1"/>
    </xf>
    <xf numFmtId="0" fontId="3" fillId="0" borderId="0" xfId="0" applyFont="1" applyAlignment="1">
      <alignment horizontal="left" vertical="center"/>
    </xf>
    <xf numFmtId="179" fontId="3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179" fontId="3" fillId="0" borderId="0" xfId="0" applyNumberFormat="1" applyFont="1" applyAlignment="1">
      <alignment horizontal="center" vertical="center"/>
    </xf>
    <xf numFmtId="178" fontId="3" fillId="0" borderId="0" xfId="0" applyNumberFormat="1" applyFont="1">
      <alignment vertical="center"/>
    </xf>
    <xf numFmtId="177" fontId="3" fillId="0" borderId="0" xfId="0" applyNumberFormat="1" applyFont="1" applyAlignment="1">
      <alignment horizontal="center" vertical="center" shrinkToFit="1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distributed" vertical="center"/>
    </xf>
    <xf numFmtId="176" fontId="3" fillId="0" borderId="1" xfId="0" applyNumberFormat="1" applyFont="1" applyBorder="1" applyAlignment="1">
      <alignment vertical="center" wrapText="1"/>
    </xf>
    <xf numFmtId="176" fontId="3" fillId="0" borderId="2" xfId="0" applyNumberFormat="1" applyFont="1" applyBorder="1" applyAlignment="1">
      <alignment vertical="center" wrapText="1"/>
    </xf>
    <xf numFmtId="181" fontId="3" fillId="0" borderId="3" xfId="0" applyNumberFormat="1" applyFont="1" applyBorder="1">
      <alignment vertical="center"/>
    </xf>
    <xf numFmtId="181" fontId="3" fillId="0" borderId="4" xfId="0" applyNumberFormat="1" applyFont="1" applyBorder="1">
      <alignment vertical="center"/>
    </xf>
    <xf numFmtId="0" fontId="5" fillId="2" borderId="0" xfId="0" applyFont="1" applyFill="1" applyAlignment="1">
      <alignment horizontal="centerContinuous" vertical="center"/>
    </xf>
    <xf numFmtId="178" fontId="5" fillId="2" borderId="0" xfId="0" applyNumberFormat="1" applyFont="1" applyFill="1" applyAlignment="1">
      <alignment horizontal="centerContinuous" vertical="center"/>
    </xf>
    <xf numFmtId="177" fontId="5" fillId="2" borderId="0" xfId="0" applyNumberFormat="1" applyFont="1" applyFill="1" applyAlignment="1">
      <alignment horizontal="centerContinuous" vertical="center" shrinkToFit="1"/>
    </xf>
    <xf numFmtId="0" fontId="7" fillId="2" borderId="0" xfId="0" applyFont="1" applyFill="1" applyAlignment="1">
      <alignment horizontal="centerContinuous" vertical="center"/>
    </xf>
    <xf numFmtId="0" fontId="3" fillId="2" borderId="8" xfId="0" applyFont="1" applyFill="1" applyBorder="1" applyAlignment="1">
      <alignment horizontal="centerContinuous" vertical="center"/>
    </xf>
    <xf numFmtId="0" fontId="3" fillId="2" borderId="5" xfId="0" applyFont="1" applyFill="1" applyBorder="1" applyAlignment="1">
      <alignment horizontal="center" vertical="center"/>
    </xf>
    <xf numFmtId="178" fontId="3" fillId="2" borderId="5" xfId="0" applyNumberFormat="1" applyFont="1" applyFill="1" applyBorder="1" applyAlignment="1">
      <alignment horizontal="center" vertical="center"/>
    </xf>
    <xf numFmtId="182" fontId="3" fillId="0" borderId="0" xfId="0" applyNumberFormat="1" applyFont="1" applyAlignment="1">
      <alignment horizontal="center" vertical="center" shrinkToFit="1"/>
    </xf>
    <xf numFmtId="179" fontId="3" fillId="0" borderId="0" xfId="0" applyNumberFormat="1" applyFont="1">
      <alignment vertical="center"/>
    </xf>
    <xf numFmtId="178" fontId="3" fillId="0" borderId="0" xfId="0" applyNumberFormat="1" applyFont="1" applyAlignment="1">
      <alignment horizontal="left" vertical="center"/>
    </xf>
    <xf numFmtId="183" fontId="3" fillId="0" borderId="0" xfId="0" applyNumberFormat="1" applyFont="1" applyAlignment="1">
      <alignment horizontal="center" vertical="center" shrinkToFit="1"/>
    </xf>
    <xf numFmtId="183" fontId="3" fillId="0" borderId="0" xfId="0" applyNumberFormat="1" applyFont="1" applyAlignment="1">
      <alignment vertical="center" shrinkToFit="1"/>
    </xf>
    <xf numFmtId="0" fontId="3" fillId="2" borderId="6" xfId="0" applyFont="1" applyFill="1" applyBorder="1" applyAlignment="1">
      <alignment horizontal="centerContinuous" vertical="center"/>
    </xf>
    <xf numFmtId="178" fontId="8" fillId="2" borderId="7" xfId="0" applyNumberFormat="1" applyFont="1" applyFill="1" applyBorder="1" applyAlignment="1">
      <alignment horizontal="left" vertical="center"/>
    </xf>
    <xf numFmtId="178" fontId="3" fillId="2" borderId="8" xfId="0" applyNumberFormat="1" applyFont="1" applyFill="1" applyBorder="1" applyAlignment="1">
      <alignment horizontal="centerContinuous" vertical="center"/>
    </xf>
    <xf numFmtId="177" fontId="6" fillId="2" borderId="6" xfId="0" applyNumberFormat="1" applyFont="1" applyFill="1" applyBorder="1" applyAlignment="1">
      <alignment horizontal="left" vertical="center"/>
    </xf>
    <xf numFmtId="0" fontId="6" fillId="2" borderId="8" xfId="0" applyFont="1" applyFill="1" applyBorder="1">
      <alignment vertical="center"/>
    </xf>
    <xf numFmtId="9" fontId="3" fillId="0" borderId="1" xfId="1" applyFont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Continuous" vertical="center"/>
    </xf>
    <xf numFmtId="178" fontId="8" fillId="3" borderId="7" xfId="0" applyNumberFormat="1" applyFont="1" applyFill="1" applyBorder="1" applyAlignment="1">
      <alignment horizontal="left" vertical="center"/>
    </xf>
    <xf numFmtId="178" fontId="3" fillId="3" borderId="8" xfId="0" applyNumberFormat="1" applyFont="1" applyFill="1" applyBorder="1" applyAlignment="1">
      <alignment horizontal="centerContinuous" vertical="center"/>
    </xf>
    <xf numFmtId="177" fontId="6" fillId="3" borderId="7" xfId="0" applyNumberFormat="1" applyFont="1" applyFill="1" applyBorder="1" applyAlignment="1">
      <alignment horizontal="left" vertical="center"/>
    </xf>
    <xf numFmtId="9" fontId="6" fillId="3" borderId="8" xfId="0" applyNumberFormat="1" applyFont="1" applyFill="1" applyBorder="1">
      <alignment vertical="center"/>
    </xf>
    <xf numFmtId="9" fontId="3" fillId="3" borderId="6" xfId="0" applyNumberFormat="1" applyFont="1" applyFill="1" applyBorder="1" applyAlignment="1">
      <alignment horizontal="centerContinuous" vertical="center"/>
    </xf>
    <xf numFmtId="9" fontId="3" fillId="3" borderId="8" xfId="1" applyFont="1" applyFill="1" applyBorder="1" applyAlignment="1">
      <alignment horizontal="centerContinuous" vertical="center"/>
    </xf>
    <xf numFmtId="9" fontId="3" fillId="3" borderId="8" xfId="0" applyNumberFormat="1" applyFont="1" applyFill="1" applyBorder="1">
      <alignment vertical="center"/>
    </xf>
    <xf numFmtId="177" fontId="3" fillId="3" borderId="7" xfId="0" applyNumberFormat="1" applyFont="1" applyFill="1" applyBorder="1" applyAlignment="1">
      <alignment horizontal="center" vertical="center" shrinkToFit="1"/>
    </xf>
    <xf numFmtId="178" fontId="3" fillId="3" borderId="8" xfId="0" applyNumberFormat="1" applyFont="1" applyFill="1" applyBorder="1">
      <alignment vertical="center"/>
    </xf>
    <xf numFmtId="0" fontId="3" fillId="3" borderId="8" xfId="0" applyFont="1" applyFill="1" applyBorder="1">
      <alignment vertical="center"/>
    </xf>
    <xf numFmtId="9" fontId="3" fillId="0" borderId="9" xfId="1" applyFont="1" applyBorder="1" applyAlignment="1">
      <alignment horizontal="center" vertical="center" wrapText="1"/>
    </xf>
    <xf numFmtId="9" fontId="3" fillId="3" borderId="6" xfId="0" applyNumberFormat="1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center" vertical="center"/>
    </xf>
    <xf numFmtId="9" fontId="3" fillId="3" borderId="7" xfId="1" applyFont="1" applyFill="1" applyBorder="1" applyAlignment="1">
      <alignment horizontal="right" vertical="center"/>
    </xf>
    <xf numFmtId="49" fontId="3" fillId="3" borderId="7" xfId="0" applyNumberFormat="1" applyFont="1" applyFill="1" applyBorder="1" applyAlignment="1">
      <alignment horizontal="right" vertical="center"/>
    </xf>
    <xf numFmtId="180" fontId="3" fillId="0" borderId="0" xfId="0" applyNumberFormat="1" applyFont="1">
      <alignment vertical="center"/>
    </xf>
    <xf numFmtId="177" fontId="3" fillId="2" borderId="5" xfId="0" applyNumberFormat="1" applyFont="1" applyFill="1" applyBorder="1" applyAlignment="1">
      <alignment horizontal="centerContinuous" vertical="center" shrinkToFit="1"/>
    </xf>
    <xf numFmtId="184" fontId="3" fillId="0" borderId="3" xfId="0" applyNumberFormat="1" applyFont="1" applyBorder="1" applyAlignment="1">
      <alignment horizontal="left" vertical="center" wrapText="1"/>
    </xf>
    <xf numFmtId="184" fontId="3" fillId="0" borderId="4" xfId="0" applyNumberFormat="1" applyFont="1" applyBorder="1" applyAlignment="1">
      <alignment horizontal="left" vertical="center" wrapText="1"/>
    </xf>
    <xf numFmtId="49" fontId="3" fillId="0" borderId="3" xfId="0" applyNumberFormat="1" applyFont="1" applyBorder="1" applyAlignment="1">
      <alignment horizontal="left" vertical="center" wrapText="1"/>
    </xf>
    <xf numFmtId="49" fontId="3" fillId="0" borderId="4" xfId="0" applyNumberFormat="1" applyFont="1" applyBorder="1" applyAlignment="1">
      <alignment horizontal="left" vertical="center" wrapText="1"/>
    </xf>
    <xf numFmtId="181" fontId="8" fillId="2" borderId="5" xfId="0" applyNumberFormat="1" applyFont="1" applyFill="1" applyBorder="1">
      <alignment vertical="center"/>
    </xf>
    <xf numFmtId="181" fontId="8" fillId="3" borderId="5" xfId="0" applyNumberFormat="1" applyFont="1" applyFill="1" applyBorder="1">
      <alignment vertical="center"/>
    </xf>
    <xf numFmtId="181" fontId="4" fillId="3" borderId="5" xfId="0" applyNumberFormat="1" applyFont="1" applyFill="1" applyBorder="1" applyAlignment="1">
      <alignment horizontal="right" vertical="center"/>
    </xf>
    <xf numFmtId="185" fontId="3" fillId="0" borderId="0" xfId="0" applyNumberFormat="1" applyFont="1" applyAlignment="1">
      <alignment horizontal="right" vertical="center"/>
    </xf>
    <xf numFmtId="185" fontId="3" fillId="0" borderId="0" xfId="0" applyNumberFormat="1" applyFont="1" applyAlignment="1">
      <alignment horizontal="right" vertical="center" shrinkToFit="1"/>
    </xf>
  </cellXfs>
  <cellStyles count="2">
    <cellStyle name="パーセント" xfId="1" builtinId="5"/>
    <cellStyle name="標準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2647950</xdr:colOff>
          <xdr:row>0</xdr:row>
          <xdr:rowOff>19050</xdr:rowOff>
        </xdr:from>
        <xdr:to>
          <xdr:col>4</xdr:col>
          <xdr:colOff>3689350</xdr:colOff>
          <xdr:row>0</xdr:row>
          <xdr:rowOff>241300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3689350</xdr:colOff>
          <xdr:row>0</xdr:row>
          <xdr:rowOff>19050</xdr:rowOff>
        </xdr:from>
        <xdr:to>
          <xdr:col>4</xdr:col>
          <xdr:colOff>4724400</xdr:colOff>
          <xdr:row>0</xdr:row>
          <xdr:rowOff>241300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明細書転記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2584450</xdr:colOff>
          <xdr:row>0</xdr:row>
          <xdr:rowOff>19050</xdr:rowOff>
        </xdr:from>
        <xdr:to>
          <xdr:col>4</xdr:col>
          <xdr:colOff>3619500</xdr:colOff>
          <xdr:row>0</xdr:row>
          <xdr:rowOff>241300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F37"/>
  <sheetViews>
    <sheetView showGridLines="0" workbookViewId="0">
      <selection activeCell="E13" sqref="E13"/>
    </sheetView>
  </sheetViews>
  <sheetFormatPr defaultColWidth="9" defaultRowHeight="20.149999999999999" customHeight="1" x14ac:dyDescent="0.55000000000000004"/>
  <cols>
    <col min="1" max="1" width="8.58203125" style="2" customWidth="1"/>
    <col min="2" max="2" width="12.58203125" style="8" customWidth="1"/>
    <col min="3" max="3" width="5.58203125" style="8" customWidth="1"/>
    <col min="4" max="4" width="12.58203125" style="8" customWidth="1"/>
    <col min="5" max="5" width="66.58203125" style="9" customWidth="1"/>
    <col min="6" max="6" width="7.58203125" style="1" customWidth="1"/>
    <col min="7" max="16384" width="9" style="1"/>
  </cols>
  <sheetData>
    <row r="1" spans="1:6" ht="20.149999999999999" customHeight="1" x14ac:dyDescent="0.55000000000000004">
      <c r="A1" s="12" t="s">
        <v>14</v>
      </c>
      <c r="B1" s="52" t="s">
        <v>35</v>
      </c>
      <c r="E1" s="61">
        <f ca="1">TODAY()</f>
        <v>45823</v>
      </c>
      <c r="F1" s="61"/>
    </row>
    <row r="2" spans="1:6" ht="20.149999999999999" customHeight="1" x14ac:dyDescent="0.55000000000000004">
      <c r="A2" s="20" t="s">
        <v>10</v>
      </c>
      <c r="B2" s="18"/>
      <c r="C2" s="18"/>
      <c r="D2" s="18"/>
      <c r="E2" s="19"/>
      <c r="F2" s="17"/>
    </row>
    <row r="3" spans="1:6" ht="20.149999999999999" customHeight="1" x14ac:dyDescent="0.55000000000000004">
      <c r="A3" s="12" t="s">
        <v>17</v>
      </c>
      <c r="B3" s="26" t="s">
        <v>37</v>
      </c>
      <c r="F3" s="6" t="s">
        <v>9</v>
      </c>
    </row>
    <row r="4" spans="1:6" ht="20.149999999999999" customHeight="1" x14ac:dyDescent="0.55000000000000004">
      <c r="A4" s="12" t="s">
        <v>16</v>
      </c>
      <c r="B4" s="27">
        <v>45846</v>
      </c>
      <c r="C4" s="24" t="s">
        <v>15</v>
      </c>
      <c r="D4" s="28">
        <v>45848</v>
      </c>
      <c r="E4" s="3"/>
      <c r="F4" s="6" t="s">
        <v>8</v>
      </c>
    </row>
    <row r="5" spans="1:6" ht="20.149999999999999" customHeight="1" x14ac:dyDescent="0.55000000000000004">
      <c r="A5" s="12" t="s">
        <v>18</v>
      </c>
      <c r="B5" s="7">
        <v>1</v>
      </c>
      <c r="C5" s="25"/>
      <c r="E5" s="3"/>
      <c r="F5" s="6" t="s">
        <v>6</v>
      </c>
    </row>
    <row r="6" spans="1:6" ht="20.149999999999999" customHeight="1" x14ac:dyDescent="0.55000000000000004">
      <c r="A6" s="12" t="s">
        <v>13</v>
      </c>
      <c r="B6" s="5"/>
      <c r="C6" s="25"/>
      <c r="E6" s="3"/>
      <c r="F6" s="6" t="s">
        <v>5</v>
      </c>
    </row>
    <row r="8" spans="1:6" s="2" customFormat="1" ht="25" customHeight="1" x14ac:dyDescent="0.55000000000000004">
      <c r="A8" s="22" t="s">
        <v>3</v>
      </c>
      <c r="B8" s="23" t="s">
        <v>2</v>
      </c>
      <c r="C8" s="23" t="s">
        <v>4</v>
      </c>
      <c r="D8" s="23" t="s">
        <v>1</v>
      </c>
      <c r="E8" s="53" t="s">
        <v>7</v>
      </c>
      <c r="F8" s="21" t="s">
        <v>11</v>
      </c>
    </row>
    <row r="9" spans="1:6" ht="30" customHeight="1" x14ac:dyDescent="0.55000000000000004">
      <c r="A9" s="10" t="s">
        <v>25</v>
      </c>
      <c r="B9" s="15">
        <v>16550</v>
      </c>
      <c r="C9" s="15">
        <v>1</v>
      </c>
      <c r="D9" s="15">
        <v>16550</v>
      </c>
      <c r="E9" s="56" t="s">
        <v>26</v>
      </c>
      <c r="F9" s="13" t="s">
        <v>38</v>
      </c>
    </row>
    <row r="10" spans="1:6" ht="30" customHeight="1" x14ac:dyDescent="0.55000000000000004">
      <c r="A10" s="10" t="s">
        <v>27</v>
      </c>
      <c r="B10" s="15">
        <v>17854</v>
      </c>
      <c r="C10" s="15">
        <v>1</v>
      </c>
      <c r="D10" s="15">
        <v>17854</v>
      </c>
      <c r="E10" s="56" t="s">
        <v>28</v>
      </c>
      <c r="F10" s="13" t="s">
        <v>38</v>
      </c>
    </row>
    <row r="11" spans="1:6" ht="30" customHeight="1" x14ac:dyDescent="0.55000000000000004">
      <c r="A11" s="10" t="s">
        <v>29</v>
      </c>
      <c r="B11" s="15">
        <v>8910</v>
      </c>
      <c r="C11" s="15">
        <v>1</v>
      </c>
      <c r="D11" s="15">
        <v>8910</v>
      </c>
      <c r="E11" s="56" t="s">
        <v>30</v>
      </c>
      <c r="F11" s="13" t="s">
        <v>38</v>
      </c>
    </row>
    <row r="12" spans="1:6" ht="30" customHeight="1" x14ac:dyDescent="0.55000000000000004">
      <c r="A12" s="10" t="s">
        <v>29</v>
      </c>
      <c r="B12" s="15">
        <v>5610</v>
      </c>
      <c r="C12" s="15">
        <v>1</v>
      </c>
      <c r="D12" s="15">
        <v>5610</v>
      </c>
      <c r="E12" s="56" t="s">
        <v>31</v>
      </c>
      <c r="F12" s="13" t="s">
        <v>38</v>
      </c>
    </row>
    <row r="13" spans="1:6" ht="30" customHeight="1" x14ac:dyDescent="0.55000000000000004">
      <c r="A13" s="10" t="s">
        <v>27</v>
      </c>
      <c r="B13" s="15">
        <v>16100</v>
      </c>
      <c r="C13" s="15">
        <v>1</v>
      </c>
      <c r="D13" s="15">
        <v>16100</v>
      </c>
      <c r="E13" s="56" t="s">
        <v>32</v>
      </c>
      <c r="F13" s="13" t="s">
        <v>38</v>
      </c>
    </row>
    <row r="14" spans="1:6" ht="30" customHeight="1" x14ac:dyDescent="0.55000000000000004">
      <c r="A14" s="10" t="s">
        <v>25</v>
      </c>
      <c r="B14" s="15">
        <v>26890</v>
      </c>
      <c r="C14" s="15">
        <v>1</v>
      </c>
      <c r="D14" s="15">
        <v>26890</v>
      </c>
      <c r="E14" s="56" t="s">
        <v>33</v>
      </c>
      <c r="F14" s="13" t="s">
        <v>38</v>
      </c>
    </row>
    <row r="15" spans="1:6" ht="30" customHeight="1" x14ac:dyDescent="0.55000000000000004">
      <c r="A15" s="10"/>
      <c r="B15" s="15"/>
      <c r="C15" s="15"/>
      <c r="D15" s="15">
        <f t="shared" ref="D9:D32" si="0">B15*C15</f>
        <v>0</v>
      </c>
      <c r="E15" s="56"/>
      <c r="F15" s="13"/>
    </row>
    <row r="16" spans="1:6" ht="30" customHeight="1" x14ac:dyDescent="0.55000000000000004">
      <c r="A16" s="10"/>
      <c r="B16" s="15"/>
      <c r="C16" s="15"/>
      <c r="D16" s="15">
        <f t="shared" si="0"/>
        <v>0</v>
      </c>
      <c r="E16" s="56"/>
      <c r="F16" s="13"/>
    </row>
    <row r="17" spans="1:6" ht="30" customHeight="1" x14ac:dyDescent="0.55000000000000004">
      <c r="A17" s="10"/>
      <c r="B17" s="15"/>
      <c r="C17" s="15"/>
      <c r="D17" s="15">
        <f t="shared" si="0"/>
        <v>0</v>
      </c>
      <c r="E17" s="56"/>
      <c r="F17" s="13"/>
    </row>
    <row r="18" spans="1:6" ht="30" customHeight="1" x14ac:dyDescent="0.55000000000000004">
      <c r="A18" s="10"/>
      <c r="B18" s="15"/>
      <c r="C18" s="15"/>
      <c r="D18" s="15">
        <f t="shared" si="0"/>
        <v>0</v>
      </c>
      <c r="E18" s="56"/>
      <c r="F18" s="13"/>
    </row>
    <row r="19" spans="1:6" ht="30" customHeight="1" x14ac:dyDescent="0.55000000000000004">
      <c r="A19" s="10"/>
      <c r="B19" s="15"/>
      <c r="C19" s="15"/>
      <c r="D19" s="15">
        <f t="shared" si="0"/>
        <v>0</v>
      </c>
      <c r="E19" s="56"/>
      <c r="F19" s="13"/>
    </row>
    <row r="20" spans="1:6" ht="30" customHeight="1" x14ac:dyDescent="0.55000000000000004">
      <c r="A20" s="10"/>
      <c r="B20" s="15"/>
      <c r="C20" s="15"/>
      <c r="D20" s="15">
        <f t="shared" si="0"/>
        <v>0</v>
      </c>
      <c r="E20" s="56"/>
      <c r="F20" s="13"/>
    </row>
    <row r="21" spans="1:6" ht="30" customHeight="1" x14ac:dyDescent="0.55000000000000004">
      <c r="A21" s="10"/>
      <c r="B21" s="15"/>
      <c r="C21" s="15"/>
      <c r="D21" s="15">
        <f t="shared" si="0"/>
        <v>0</v>
      </c>
      <c r="E21" s="56"/>
      <c r="F21" s="13"/>
    </row>
    <row r="22" spans="1:6" ht="30" customHeight="1" x14ac:dyDescent="0.55000000000000004">
      <c r="A22" s="10"/>
      <c r="B22" s="15"/>
      <c r="C22" s="15"/>
      <c r="D22" s="15">
        <f t="shared" si="0"/>
        <v>0</v>
      </c>
      <c r="E22" s="56"/>
      <c r="F22" s="13"/>
    </row>
    <row r="23" spans="1:6" ht="30" customHeight="1" x14ac:dyDescent="0.55000000000000004">
      <c r="A23" s="10"/>
      <c r="B23" s="15"/>
      <c r="C23" s="15"/>
      <c r="D23" s="15">
        <f t="shared" si="0"/>
        <v>0</v>
      </c>
      <c r="E23" s="56"/>
      <c r="F23" s="13"/>
    </row>
    <row r="24" spans="1:6" ht="30" customHeight="1" x14ac:dyDescent="0.55000000000000004">
      <c r="A24" s="10"/>
      <c r="B24" s="15"/>
      <c r="C24" s="15"/>
      <c r="D24" s="15">
        <f t="shared" si="0"/>
        <v>0</v>
      </c>
      <c r="E24" s="56"/>
      <c r="F24" s="13"/>
    </row>
    <row r="25" spans="1:6" ht="30" customHeight="1" x14ac:dyDescent="0.55000000000000004">
      <c r="A25" s="10"/>
      <c r="B25" s="15"/>
      <c r="C25" s="15"/>
      <c r="D25" s="15">
        <f t="shared" si="0"/>
        <v>0</v>
      </c>
      <c r="E25" s="56"/>
      <c r="F25" s="13"/>
    </row>
    <row r="26" spans="1:6" ht="30" customHeight="1" x14ac:dyDescent="0.55000000000000004">
      <c r="A26" s="10"/>
      <c r="B26" s="15"/>
      <c r="C26" s="15"/>
      <c r="D26" s="15">
        <f t="shared" si="0"/>
        <v>0</v>
      </c>
      <c r="E26" s="56"/>
      <c r="F26" s="13"/>
    </row>
    <row r="27" spans="1:6" ht="30" customHeight="1" x14ac:dyDescent="0.55000000000000004">
      <c r="A27" s="10"/>
      <c r="B27" s="15"/>
      <c r="C27" s="15"/>
      <c r="D27" s="15">
        <f t="shared" si="0"/>
        <v>0</v>
      </c>
      <c r="E27" s="56"/>
      <c r="F27" s="13"/>
    </row>
    <row r="28" spans="1:6" ht="30" customHeight="1" x14ac:dyDescent="0.55000000000000004">
      <c r="A28" s="10"/>
      <c r="B28" s="15"/>
      <c r="C28" s="15"/>
      <c r="D28" s="15">
        <f t="shared" si="0"/>
        <v>0</v>
      </c>
      <c r="E28" s="56"/>
      <c r="F28" s="13"/>
    </row>
    <row r="29" spans="1:6" ht="30" customHeight="1" x14ac:dyDescent="0.55000000000000004">
      <c r="A29" s="10"/>
      <c r="B29" s="15"/>
      <c r="C29" s="15"/>
      <c r="D29" s="15">
        <f t="shared" si="0"/>
        <v>0</v>
      </c>
      <c r="E29" s="56"/>
      <c r="F29" s="13"/>
    </row>
    <row r="30" spans="1:6" ht="30" customHeight="1" x14ac:dyDescent="0.55000000000000004">
      <c r="A30" s="10"/>
      <c r="B30" s="15"/>
      <c r="C30" s="15"/>
      <c r="D30" s="15">
        <f t="shared" si="0"/>
        <v>0</v>
      </c>
      <c r="E30" s="56"/>
      <c r="F30" s="13"/>
    </row>
    <row r="31" spans="1:6" ht="30" customHeight="1" x14ac:dyDescent="0.55000000000000004">
      <c r="A31" s="10"/>
      <c r="B31" s="15"/>
      <c r="C31" s="15"/>
      <c r="D31" s="15">
        <f t="shared" si="0"/>
        <v>0</v>
      </c>
      <c r="E31" s="56"/>
      <c r="F31" s="13"/>
    </row>
    <row r="32" spans="1:6" ht="30" customHeight="1" x14ac:dyDescent="0.55000000000000004">
      <c r="A32" s="10"/>
      <c r="B32" s="15"/>
      <c r="C32" s="15"/>
      <c r="D32" s="15">
        <f t="shared" si="0"/>
        <v>0</v>
      </c>
      <c r="E32" s="56"/>
      <c r="F32" s="13"/>
    </row>
    <row r="33" spans="1:6" ht="30" customHeight="1" x14ac:dyDescent="0.55000000000000004">
      <c r="A33" s="11"/>
      <c r="B33" s="16"/>
      <c r="C33" s="16"/>
      <c r="D33" s="16">
        <f>B33*C33</f>
        <v>0</v>
      </c>
      <c r="E33" s="57"/>
      <c r="F33" s="14"/>
    </row>
    <row r="34" spans="1:6" ht="25" customHeight="1" x14ac:dyDescent="0.55000000000000004">
      <c r="A34" s="29"/>
      <c r="B34" s="30" t="s">
        <v>12</v>
      </c>
      <c r="C34" s="31"/>
      <c r="D34" s="58">
        <f>SUM(D9:D33)</f>
        <v>91914</v>
      </c>
      <c r="E34" s="32"/>
      <c r="F34" s="33"/>
    </row>
    <row r="35" spans="1:6" ht="25" customHeight="1" x14ac:dyDescent="0.55000000000000004">
      <c r="A35" s="29"/>
      <c r="B35" s="30" t="s">
        <v>23</v>
      </c>
      <c r="C35" s="31"/>
      <c r="D35" s="58">
        <f>IFERROR(D34/B5,"")</f>
        <v>91914</v>
      </c>
      <c r="E35" s="32"/>
      <c r="F35" s="33"/>
    </row>
    <row r="36" spans="1:6" ht="20.149999999999999" customHeight="1" x14ac:dyDescent="0.55000000000000004">
      <c r="A36" s="4"/>
    </row>
    <row r="37" spans="1:6" ht="20.149999999999999" customHeight="1" x14ac:dyDescent="0.55000000000000004">
      <c r="A37" s="4"/>
    </row>
  </sheetData>
  <sortState xmlns:xlrd2="http://schemas.microsoft.com/office/spreadsheetml/2017/richdata2" ref="A9:F28">
    <sortCondition ref="A9:A28" customList="交通費,宿泊代,貸切,入場料,保険,その他,手数料"/>
  </sortState>
  <mergeCells count="1">
    <mergeCell ref="E1:F1"/>
  </mergeCells>
  <phoneticPr fontId="2"/>
  <conditionalFormatting sqref="A9:F33">
    <cfRule type="expression" dxfId="2" priority="1">
      <formula>MOD(ROW(),2)=0</formula>
    </cfRule>
  </conditionalFormatting>
  <printOptions horizontalCentered="1"/>
  <pageMargins left="0.23622047244094491" right="0.23622047244094491" top="0.35433070866141736" bottom="0.35433070866141736" header="0.31496062992125984" footer="0.31496062992125984"/>
  <pageSetup paperSize="9" scale="7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DF保存">
                <anchor moveWithCells="1" sizeWithCells="1">
                  <from>
                    <xdr:col>4</xdr:col>
                    <xdr:colOff>2647950</xdr:colOff>
                    <xdr:row>0</xdr:row>
                    <xdr:rowOff>19050</xdr:rowOff>
                  </from>
                  <to>
                    <xdr:col>4</xdr:col>
                    <xdr:colOff>3689350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明細書へデータ転記">
                <anchor moveWithCells="1" sizeWithCells="1">
                  <from>
                    <xdr:col>4</xdr:col>
                    <xdr:colOff>3689350</xdr:colOff>
                    <xdr:row>0</xdr:row>
                    <xdr:rowOff>19050</xdr:rowOff>
                  </from>
                  <to>
                    <xdr:col>4</xdr:col>
                    <xdr:colOff>4724400</xdr:colOff>
                    <xdr:row>0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FC6FB-9611-458E-958E-5B0C68CCD150}">
  <sheetPr codeName="Sheet5">
    <pageSetUpPr fitToPage="1"/>
  </sheetPr>
  <dimension ref="A1:F38"/>
  <sheetViews>
    <sheetView showGridLines="0" tabSelected="1" workbookViewId="0">
      <selection activeCell="E13" sqref="E13"/>
    </sheetView>
  </sheetViews>
  <sheetFormatPr defaultColWidth="9" defaultRowHeight="20.149999999999999" customHeight="1" x14ac:dyDescent="0.55000000000000004"/>
  <cols>
    <col min="1" max="1" width="8.58203125" style="2" customWidth="1"/>
    <col min="2" max="2" width="12.58203125" style="8" customWidth="1"/>
    <col min="3" max="3" width="5.58203125" style="8" customWidth="1"/>
    <col min="4" max="4" width="12.58203125" style="8" customWidth="1"/>
    <col min="5" max="5" width="66.58203125" style="9" customWidth="1"/>
    <col min="6" max="6" width="7.58203125" style="1" customWidth="1"/>
    <col min="7" max="16384" width="9" style="1"/>
  </cols>
  <sheetData>
    <row r="1" spans="1:6" ht="20.149999999999999" customHeight="1" x14ac:dyDescent="0.55000000000000004">
      <c r="A1" s="12" t="s">
        <v>14</v>
      </c>
      <c r="B1" s="52" t="s">
        <v>34</v>
      </c>
      <c r="E1" s="62">
        <f ca="1">TODAY()</f>
        <v>45823</v>
      </c>
      <c r="F1" s="62"/>
    </row>
    <row r="2" spans="1:6" ht="20.149999999999999" customHeight="1" x14ac:dyDescent="0.55000000000000004">
      <c r="A2" s="20" t="s">
        <v>19</v>
      </c>
      <c r="B2" s="18"/>
      <c r="C2" s="18"/>
      <c r="D2" s="18"/>
      <c r="E2" s="19"/>
      <c r="F2" s="17"/>
    </row>
    <row r="3" spans="1:6" ht="20.149999999999999" customHeight="1" x14ac:dyDescent="0.55000000000000004">
      <c r="A3" s="12" t="s">
        <v>17</v>
      </c>
      <c r="B3" s="26" t="s">
        <v>36</v>
      </c>
      <c r="F3" s="6" t="s">
        <v>9</v>
      </c>
    </row>
    <row r="4" spans="1:6" ht="20.149999999999999" customHeight="1" x14ac:dyDescent="0.55000000000000004">
      <c r="A4" s="12" t="s">
        <v>24</v>
      </c>
      <c r="B4" s="27">
        <v>45846</v>
      </c>
      <c r="C4" s="24"/>
      <c r="D4" s="28"/>
      <c r="E4" s="3"/>
      <c r="F4" s="6" t="s">
        <v>8</v>
      </c>
    </row>
    <row r="5" spans="1:6" ht="20.149999999999999" customHeight="1" x14ac:dyDescent="0.55000000000000004">
      <c r="A5" s="12" t="s">
        <v>18</v>
      </c>
      <c r="B5" s="7">
        <v>1</v>
      </c>
      <c r="C5" s="25"/>
      <c r="E5" s="3"/>
      <c r="F5" s="6" t="s">
        <v>6</v>
      </c>
    </row>
    <row r="6" spans="1:6" ht="20.149999999999999" customHeight="1" x14ac:dyDescent="0.55000000000000004">
      <c r="A6" s="12"/>
      <c r="B6" s="5"/>
      <c r="C6" s="25"/>
      <c r="E6" s="3"/>
      <c r="F6" s="6" t="s">
        <v>5</v>
      </c>
    </row>
    <row r="8" spans="1:6" s="2" customFormat="1" ht="25" customHeight="1" x14ac:dyDescent="0.55000000000000004">
      <c r="A8" s="22" t="s">
        <v>3</v>
      </c>
      <c r="B8" s="23" t="s">
        <v>2</v>
      </c>
      <c r="C8" s="23" t="s">
        <v>4</v>
      </c>
      <c r="D8" s="23" t="s">
        <v>1</v>
      </c>
      <c r="E8" s="53" t="s">
        <v>0</v>
      </c>
      <c r="F8" s="21" t="s">
        <v>20</v>
      </c>
    </row>
    <row r="9" spans="1:6" ht="30" customHeight="1" x14ac:dyDescent="0.55000000000000004">
      <c r="A9" s="10" t="s">
        <v>25</v>
      </c>
      <c r="B9" s="15">
        <v>16550</v>
      </c>
      <c r="C9" s="15">
        <v>1</v>
      </c>
      <c r="D9" s="15">
        <f t="shared" ref="D9:D29" si="0">B9*C9</f>
        <v>16550</v>
      </c>
      <c r="E9" s="54" t="s">
        <v>26</v>
      </c>
      <c r="F9" s="34">
        <v>0.1</v>
      </c>
    </row>
    <row r="10" spans="1:6" ht="30" customHeight="1" x14ac:dyDescent="0.55000000000000004">
      <c r="A10" s="10" t="s">
        <v>27</v>
      </c>
      <c r="B10" s="15">
        <v>17854</v>
      </c>
      <c r="C10" s="15">
        <v>1</v>
      </c>
      <c r="D10" s="15">
        <f t="shared" si="0"/>
        <v>17854</v>
      </c>
      <c r="E10" s="54" t="s">
        <v>28</v>
      </c>
      <c r="F10" s="34">
        <v>0.1</v>
      </c>
    </row>
    <row r="11" spans="1:6" ht="30" customHeight="1" x14ac:dyDescent="0.55000000000000004">
      <c r="A11" s="10" t="s">
        <v>29</v>
      </c>
      <c r="B11" s="15">
        <v>8910</v>
      </c>
      <c r="C11" s="15">
        <v>1</v>
      </c>
      <c r="D11" s="15">
        <f t="shared" si="0"/>
        <v>8910</v>
      </c>
      <c r="E11" s="54" t="s">
        <v>30</v>
      </c>
      <c r="F11" s="34">
        <v>0.1</v>
      </c>
    </row>
    <row r="12" spans="1:6" ht="30" customHeight="1" x14ac:dyDescent="0.55000000000000004">
      <c r="A12" s="10" t="s">
        <v>29</v>
      </c>
      <c r="B12" s="15">
        <v>5610</v>
      </c>
      <c r="C12" s="15">
        <v>1</v>
      </c>
      <c r="D12" s="15">
        <f t="shared" si="0"/>
        <v>5610</v>
      </c>
      <c r="E12" s="54" t="s">
        <v>31</v>
      </c>
      <c r="F12" s="34">
        <v>0.1</v>
      </c>
    </row>
    <row r="13" spans="1:6" ht="30" customHeight="1" x14ac:dyDescent="0.55000000000000004">
      <c r="A13" s="10" t="s">
        <v>27</v>
      </c>
      <c r="B13" s="15">
        <v>16100</v>
      </c>
      <c r="C13" s="15">
        <v>1</v>
      </c>
      <c r="D13" s="15">
        <f t="shared" si="0"/>
        <v>16100</v>
      </c>
      <c r="E13" s="54" t="s">
        <v>32</v>
      </c>
      <c r="F13" s="34">
        <v>0.1</v>
      </c>
    </row>
    <row r="14" spans="1:6" ht="30" customHeight="1" x14ac:dyDescent="0.55000000000000004">
      <c r="A14" s="10" t="s">
        <v>25</v>
      </c>
      <c r="B14" s="15">
        <v>26890</v>
      </c>
      <c r="C14" s="15">
        <v>1</v>
      </c>
      <c r="D14" s="15">
        <f t="shared" si="0"/>
        <v>26890</v>
      </c>
      <c r="E14" s="54" t="s">
        <v>33</v>
      </c>
      <c r="F14" s="34">
        <v>0.1</v>
      </c>
    </row>
    <row r="15" spans="1:6" ht="30" customHeight="1" x14ac:dyDescent="0.55000000000000004">
      <c r="A15" s="10"/>
      <c r="B15" s="15"/>
      <c r="C15" s="15"/>
      <c r="D15" s="15">
        <f t="shared" si="0"/>
        <v>0</v>
      </c>
      <c r="E15" s="54"/>
      <c r="F15" s="34"/>
    </row>
    <row r="16" spans="1:6" ht="30" customHeight="1" x14ac:dyDescent="0.55000000000000004">
      <c r="A16" s="10"/>
      <c r="B16" s="15"/>
      <c r="C16" s="15"/>
      <c r="D16" s="15">
        <f t="shared" si="0"/>
        <v>0</v>
      </c>
      <c r="E16" s="54"/>
      <c r="F16" s="34"/>
    </row>
    <row r="17" spans="1:6" ht="30" customHeight="1" x14ac:dyDescent="0.55000000000000004">
      <c r="A17" s="10"/>
      <c r="B17" s="15"/>
      <c r="C17" s="15"/>
      <c r="D17" s="15">
        <f t="shared" si="0"/>
        <v>0</v>
      </c>
      <c r="E17" s="54"/>
      <c r="F17" s="34"/>
    </row>
    <row r="18" spans="1:6" ht="30" customHeight="1" x14ac:dyDescent="0.55000000000000004">
      <c r="A18" s="10"/>
      <c r="B18" s="15"/>
      <c r="C18" s="15"/>
      <c r="D18" s="15">
        <f t="shared" si="0"/>
        <v>0</v>
      </c>
      <c r="E18" s="54"/>
      <c r="F18" s="34"/>
    </row>
    <row r="19" spans="1:6" ht="30" customHeight="1" x14ac:dyDescent="0.55000000000000004">
      <c r="A19" s="10"/>
      <c r="B19" s="15"/>
      <c r="C19" s="15"/>
      <c r="D19" s="15">
        <f t="shared" si="0"/>
        <v>0</v>
      </c>
      <c r="E19" s="54"/>
      <c r="F19" s="34"/>
    </row>
    <row r="20" spans="1:6" ht="30" customHeight="1" x14ac:dyDescent="0.55000000000000004">
      <c r="A20" s="10"/>
      <c r="B20" s="15"/>
      <c r="C20" s="15"/>
      <c r="D20" s="15">
        <f t="shared" si="0"/>
        <v>0</v>
      </c>
      <c r="E20" s="54"/>
      <c r="F20" s="34"/>
    </row>
    <row r="21" spans="1:6" ht="30" customHeight="1" x14ac:dyDescent="0.55000000000000004">
      <c r="A21" s="10"/>
      <c r="B21" s="15"/>
      <c r="C21" s="15"/>
      <c r="D21" s="15">
        <f t="shared" si="0"/>
        <v>0</v>
      </c>
      <c r="E21" s="54"/>
      <c r="F21" s="34"/>
    </row>
    <row r="22" spans="1:6" ht="30" customHeight="1" x14ac:dyDescent="0.55000000000000004">
      <c r="A22" s="10"/>
      <c r="B22" s="15"/>
      <c r="C22" s="15"/>
      <c r="D22" s="15">
        <f t="shared" si="0"/>
        <v>0</v>
      </c>
      <c r="E22" s="54"/>
      <c r="F22" s="34"/>
    </row>
    <row r="23" spans="1:6" ht="30" customHeight="1" x14ac:dyDescent="0.55000000000000004">
      <c r="A23" s="10"/>
      <c r="B23" s="15"/>
      <c r="C23" s="15"/>
      <c r="D23" s="15">
        <f t="shared" si="0"/>
        <v>0</v>
      </c>
      <c r="E23" s="54"/>
      <c r="F23" s="34"/>
    </row>
    <row r="24" spans="1:6" ht="30" customHeight="1" x14ac:dyDescent="0.55000000000000004">
      <c r="A24" s="10"/>
      <c r="B24" s="15"/>
      <c r="C24" s="15"/>
      <c r="D24" s="15">
        <f t="shared" si="0"/>
        <v>0</v>
      </c>
      <c r="E24" s="54"/>
      <c r="F24" s="34"/>
    </row>
    <row r="25" spans="1:6" ht="30" customHeight="1" x14ac:dyDescent="0.55000000000000004">
      <c r="A25" s="10"/>
      <c r="B25" s="15"/>
      <c r="C25" s="15"/>
      <c r="D25" s="15">
        <f t="shared" si="0"/>
        <v>0</v>
      </c>
      <c r="E25" s="54"/>
      <c r="F25" s="34"/>
    </row>
    <row r="26" spans="1:6" ht="30" customHeight="1" x14ac:dyDescent="0.55000000000000004">
      <c r="A26" s="10"/>
      <c r="B26" s="15"/>
      <c r="C26" s="15"/>
      <c r="D26" s="15">
        <f t="shared" si="0"/>
        <v>0</v>
      </c>
      <c r="E26" s="54"/>
      <c r="F26" s="34"/>
    </row>
    <row r="27" spans="1:6" ht="30" customHeight="1" x14ac:dyDescent="0.55000000000000004">
      <c r="A27" s="10"/>
      <c r="B27" s="15"/>
      <c r="C27" s="15"/>
      <c r="D27" s="15">
        <f t="shared" si="0"/>
        <v>0</v>
      </c>
      <c r="E27" s="54"/>
      <c r="F27" s="34"/>
    </row>
    <row r="28" spans="1:6" ht="30" customHeight="1" x14ac:dyDescent="0.55000000000000004">
      <c r="A28" s="10"/>
      <c r="B28" s="15"/>
      <c r="C28" s="15"/>
      <c r="D28" s="15">
        <f t="shared" si="0"/>
        <v>0</v>
      </c>
      <c r="E28" s="54"/>
      <c r="F28" s="34"/>
    </row>
    <row r="29" spans="1:6" ht="30" customHeight="1" x14ac:dyDescent="0.55000000000000004">
      <c r="A29" s="10"/>
      <c r="B29" s="15"/>
      <c r="C29" s="15"/>
      <c r="D29" s="15">
        <f t="shared" si="0"/>
        <v>0</v>
      </c>
      <c r="E29" s="54"/>
      <c r="F29" s="34"/>
    </row>
    <row r="30" spans="1:6" ht="30" customHeight="1" x14ac:dyDescent="0.55000000000000004">
      <c r="A30" s="10"/>
      <c r="B30" s="15"/>
      <c r="C30" s="15"/>
      <c r="D30" s="15">
        <f>B30*C30</f>
        <v>0</v>
      </c>
      <c r="E30" s="54"/>
      <c r="F30" s="34"/>
    </row>
    <row r="31" spans="1:6" ht="28" customHeight="1" x14ac:dyDescent="0.55000000000000004">
      <c r="A31" s="10"/>
      <c r="B31" s="15"/>
      <c r="C31" s="15"/>
      <c r="D31" s="15">
        <f t="shared" ref="D31:D32" si="1">B31*C31</f>
        <v>0</v>
      </c>
      <c r="E31" s="54"/>
      <c r="F31" s="34"/>
    </row>
    <row r="32" spans="1:6" ht="28" customHeight="1" x14ac:dyDescent="0.55000000000000004">
      <c r="A32" s="10"/>
      <c r="B32" s="15"/>
      <c r="C32" s="15"/>
      <c r="D32" s="15">
        <f t="shared" si="1"/>
        <v>0</v>
      </c>
      <c r="E32" s="54"/>
      <c r="F32" s="34"/>
    </row>
    <row r="33" spans="1:6" ht="28" customHeight="1" x14ac:dyDescent="0.55000000000000004">
      <c r="A33" s="11"/>
      <c r="B33" s="16"/>
      <c r="C33" s="16"/>
      <c r="D33" s="16">
        <f>B33*C33</f>
        <v>0</v>
      </c>
      <c r="E33" s="55"/>
      <c r="F33" s="46"/>
    </row>
    <row r="34" spans="1:6" ht="20.149999999999999" customHeight="1" x14ac:dyDescent="0.55000000000000004">
      <c r="A34" s="35"/>
      <c r="B34" s="36" t="s">
        <v>12</v>
      </c>
      <c r="C34" s="37"/>
      <c r="D34" s="59">
        <f>SUM(D9:D33)</f>
        <v>91914</v>
      </c>
      <c r="E34" s="38"/>
      <c r="F34" s="39"/>
    </row>
    <row r="35" spans="1:6" ht="20.149999999999999" customHeight="1" x14ac:dyDescent="0.55000000000000004">
      <c r="A35" s="40"/>
      <c r="B35" s="50">
        <v>0.1</v>
      </c>
      <c r="C35" s="41"/>
      <c r="D35" s="60">
        <f>SUMIF($F$9:$F$33,B35,$D$9:$D$33)</f>
        <v>91914</v>
      </c>
      <c r="E35" s="38"/>
      <c r="F35" s="39"/>
    </row>
    <row r="36" spans="1:6" ht="20.149999999999999" customHeight="1" x14ac:dyDescent="0.55000000000000004">
      <c r="A36" s="47"/>
      <c r="B36" s="50">
        <v>0.08</v>
      </c>
      <c r="C36" s="42"/>
      <c r="D36" s="60">
        <f t="shared" ref="D36:D38" si="2">SUMIF($F$9:$F$33,B36,$D$9:$D$33)</f>
        <v>0</v>
      </c>
      <c r="E36" s="43"/>
      <c r="F36" s="45"/>
    </row>
    <row r="37" spans="1:6" ht="20.149999999999999" customHeight="1" x14ac:dyDescent="0.55000000000000004">
      <c r="A37" s="48"/>
      <c r="B37" s="51" t="s">
        <v>21</v>
      </c>
      <c r="C37" s="44"/>
      <c r="D37" s="60">
        <f t="shared" si="2"/>
        <v>0</v>
      </c>
      <c r="E37" s="43"/>
      <c r="F37" s="45"/>
    </row>
    <row r="38" spans="1:6" ht="20.149999999999999" customHeight="1" x14ac:dyDescent="0.55000000000000004">
      <c r="A38" s="49"/>
      <c r="B38" s="51" t="s">
        <v>22</v>
      </c>
      <c r="C38" s="44"/>
      <c r="D38" s="60">
        <f t="shared" si="2"/>
        <v>0</v>
      </c>
      <c r="E38" s="43"/>
      <c r="F38" s="45"/>
    </row>
  </sheetData>
  <mergeCells count="1">
    <mergeCell ref="E1:F1"/>
  </mergeCells>
  <phoneticPr fontId="2"/>
  <conditionalFormatting sqref="F9:F33">
    <cfRule type="expression" dxfId="1" priority="14">
      <formula>MOD(ROW(),2)=0</formula>
    </cfRule>
  </conditionalFormatting>
  <conditionalFormatting sqref="A9:E33">
    <cfRule type="expression" dxfId="0" priority="1">
      <formula>MOD(ROW(),2)=0</formula>
    </cfRule>
  </conditionalFormatting>
  <dataValidations count="1">
    <dataValidation type="list" allowBlank="1" showInputMessage="1" showErrorMessage="1" sqref="F9:F33" xr:uid="{47040839-7A0F-4BC2-BC0D-3381FAC5BBDA}">
      <formula1>"10%,8%,非課税,不課税"</formula1>
    </dataValidation>
  </dataValidations>
  <printOptions horizontalCentered="1"/>
  <pageMargins left="0.23622047244094491" right="0.23622047244094491" top="0.35433070866141736" bottom="0.35433070866141736" header="0.31496062992125984" footer="0.31496062992125984"/>
  <pageSetup paperSize="9" scale="7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DF保存">
                <anchor moveWithCells="1" sizeWithCells="1">
                  <from>
                    <xdr:col>4</xdr:col>
                    <xdr:colOff>2584450</xdr:colOff>
                    <xdr:row>0</xdr:row>
                    <xdr:rowOff>19050</xdr:rowOff>
                  </from>
                  <to>
                    <xdr:col>4</xdr:col>
                    <xdr:colOff>3619500</xdr:colOff>
                    <xdr:row>0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見積書</vt:lpstr>
      <vt:lpstr>明細書</vt:lpstr>
      <vt:lpstr>見積書!Print_Area</vt:lpstr>
      <vt:lpstr>明細書!Print_Area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畑原雅史</dc:creator>
  <cp:lastModifiedBy>雅史 畑原</cp:lastModifiedBy>
  <cp:lastPrinted>2025-06-14T21:17:59Z</cp:lastPrinted>
  <dcterms:created xsi:type="dcterms:W3CDTF">2023-02-25T10:02:31Z</dcterms:created>
  <dcterms:modified xsi:type="dcterms:W3CDTF">2025-06-14T21:18:43Z</dcterms:modified>
</cp:coreProperties>
</file>